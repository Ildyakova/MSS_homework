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к\Desktop\homework3\"/>
    </mc:Choice>
  </mc:AlternateContent>
  <bookViews>
    <workbookView xWindow="0" yWindow="0" windowWidth="23040" windowHeight="9192" activeTab="1"/>
  </bookViews>
  <sheets>
    <sheet name="явная схема" sheetId="2" r:id="rId1"/>
    <sheet name="неявная схема" sheetId="1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" l="1"/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G4" i="1" s="1"/>
  <c r="AJ14" i="1"/>
  <c r="F19" i="1"/>
  <c r="C15" i="1"/>
  <c r="C17" i="1" s="1"/>
  <c r="L20" i="1" l="1"/>
  <c r="AF20" i="1"/>
  <c r="P20" i="1"/>
  <c r="AE20" i="1"/>
  <c r="O20" i="1"/>
  <c r="V20" i="1"/>
  <c r="C16" i="1"/>
  <c r="G18" i="1" s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U20" i="1"/>
  <c r="AB20" i="1"/>
  <c r="K20" i="1"/>
  <c r="AI20" i="1"/>
  <c r="AA20" i="1"/>
  <c r="S20" i="1"/>
  <c r="J20" i="1"/>
  <c r="AH20" i="1"/>
  <c r="Z20" i="1"/>
  <c r="R20" i="1"/>
  <c r="I20" i="1"/>
  <c r="X20" i="1"/>
  <c r="G20" i="1"/>
  <c r="W20" i="1"/>
  <c r="AD20" i="1"/>
  <c r="N20" i="1"/>
  <c r="AC20" i="1"/>
  <c r="M20" i="1"/>
  <c r="F20" i="1"/>
  <c r="T20" i="1"/>
  <c r="AG20" i="1"/>
  <c r="Y20" i="1"/>
  <c r="Q20" i="1"/>
  <c r="H20" i="1"/>
  <c r="C2" i="1"/>
  <c r="G19" i="1" l="1"/>
  <c r="H19" i="1" s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H18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<sst xmlns="http://schemas.openxmlformats.org/spreadsheetml/2006/main" count="33" uniqueCount="20">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</sst>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292.97782687123032</c:v>
                </c:pt>
                <c:pt idx="2">
                  <c:v>285.96342243633171</c:v>
                </c:pt>
                <c:pt idx="3">
                  <c:v>278.94901800143316</c:v>
                </c:pt>
                <c:pt idx="4">
                  <c:v>271.95758011467308</c:v>
                </c:pt>
                <c:pt idx="5">
                  <c:v>264.966142227913</c:v>
                </c:pt>
                <c:pt idx="6">
                  <c:v>258.0118649831158</c:v>
                </c:pt>
                <c:pt idx="7">
                  <c:v>251.05758773831866</c:v>
                </c:pt>
                <c:pt idx="8">
                  <c:v>244.15304111313486</c:v>
                </c:pt>
                <c:pt idx="9">
                  <c:v>237.24849448795109</c:v>
                </c:pt>
                <c:pt idx="10">
                  <c:v>230.40407497287472</c:v>
                </c:pt>
                <c:pt idx="11">
                  <c:v>223.55965545779844</c:v>
                </c:pt>
                <c:pt idx="12">
                  <c:v>216.78313168053836</c:v>
                </c:pt>
                <c:pt idx="13">
                  <c:v>210.00660790327836</c:v>
                </c:pt>
                <c:pt idx="14">
                  <c:v>203.30278110672344</c:v>
                </c:pt>
                <c:pt idx="15">
                  <c:v>196.59895431016861</c:v>
                </c:pt>
                <c:pt idx="16">
                  <c:v>189.96944852195043</c:v>
                </c:pt>
                <c:pt idx="17">
                  <c:v>183.33994273373236</c:v>
                </c:pt>
                <c:pt idx="18">
                  <c:v>176.78313379678647</c:v>
                </c:pt>
                <c:pt idx="19">
                  <c:v>170.22632485984064</c:v>
                </c:pt>
                <c:pt idx="20">
                  <c:v>163.73741142422546</c:v>
                </c:pt>
                <c:pt idx="21">
                  <c:v>157.24849798861027</c:v>
                </c:pt>
                <c:pt idx="22">
                  <c:v>150.81971136045468</c:v>
                </c:pt>
                <c:pt idx="23">
                  <c:v>144.39092473229906</c:v>
                </c:pt>
                <c:pt idx="24">
                  <c:v>138.01186840727723</c:v>
                </c:pt>
                <c:pt idx="25">
                  <c:v>131.63281208225544</c:v>
                </c:pt>
                <c:pt idx="26">
                  <c:v>125.2909161236075</c:v>
                </c:pt>
                <c:pt idx="27">
                  <c:v>118.94902016495956</c:v>
                </c:pt>
                <c:pt idx="28">
                  <c:v>112.63009056740344</c:v>
                </c:pt>
                <c:pt idx="29">
                  <c:v>106.31116096984731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2-4CAE-BC97-91C5FF62F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212328"/>
        <c:axId val="399158112"/>
      </c:scatterChart>
      <c:valAx>
        <c:axId val="3992123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9158112"/>
        <c:crosses val="autoZero"/>
        <c:crossBetween val="midCat"/>
      </c:valAx>
      <c:valAx>
        <c:axId val="399158112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921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293.31871827073877</c:v>
                </c:pt>
                <c:pt idx="2">
                  <c:v>286.63759666716163</c:v>
                </c:pt>
                <c:pt idx="3">
                  <c:v>279.95679356058253</c:v>
                </c:pt>
                <c:pt idx="4">
                  <c:v>273.27646383279534</c:v>
                </c:pt>
                <c:pt idx="5">
                  <c:v>266.59675717915707</c:v>
                </c:pt>
                <c:pt idx="6">
                  <c:v>259.91781646849358</c:v>
                </c:pt>
                <c:pt idx="7">
                  <c:v>253.23977617779951</c:v>
                </c:pt>
                <c:pt idx="8">
                  <c:v>246.5627609188798</c:v>
                </c:pt>
                <c:pt idx="9">
                  <c:v>239.88688407307663</c:v>
                </c:pt>
                <c:pt idx="10">
                  <c:v>233.2122465490402</c:v>
                </c:pt>
                <c:pt idx="11">
                  <c:v>226.53893567715176</c:v>
                </c:pt>
                <c:pt idx="12">
                  <c:v>219.867024252714</c:v>
                </c:pt>
                <c:pt idx="13">
                  <c:v>213.19656973839068</c:v>
                </c:pt>
                <c:pt idx="14">
                  <c:v>206.52761363463316</c:v>
                </c:pt>
                <c:pt idx="15">
                  <c:v>199.86018102499338</c:v>
                </c:pt>
                <c:pt idx="16">
                  <c:v>193.1942803013028</c:v>
                </c:pt>
                <c:pt idx="17">
                  <c:v>186.52990307172979</c:v>
                </c:pt>
                <c:pt idx="18">
                  <c:v>179.86702425272256</c:v>
                </c:pt>
                <c:pt idx="19">
                  <c:v>173.20560234382927</c:v>
                </c:pt>
                <c:pt idx="20">
                  <c:v>166.54557988238619</c:v>
                </c:pt>
                <c:pt idx="21">
                  <c:v>159.88688407309053</c:v>
                </c:pt>
                <c:pt idx="22">
                  <c:v>153.2294275855609</c:v>
                </c:pt>
                <c:pt idx="23">
                  <c:v>146.57310951114732</c:v>
                </c:pt>
                <c:pt idx="24">
                  <c:v>139.91781646850745</c:v>
                </c:pt>
                <c:pt idx="25">
                  <c:v>133.26342384583637</c:v>
                </c:pt>
                <c:pt idx="26">
                  <c:v>126.60979716613963</c:v>
                </c:pt>
                <c:pt idx="27">
                  <c:v>119.95679356059119</c:v>
                </c:pt>
                <c:pt idx="28">
                  <c:v>113.30426333383429</c:v>
                </c:pt>
                <c:pt idx="29">
                  <c:v>106.65205160407507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293.31871827073877</c:v>
                </c:pt>
                <c:pt idx="2">
                  <c:v>286.63759666716163</c:v>
                </c:pt>
                <c:pt idx="3">
                  <c:v>279.95679356058253</c:v>
                </c:pt>
                <c:pt idx="4">
                  <c:v>273.27646383279534</c:v>
                </c:pt>
                <c:pt idx="5">
                  <c:v>266.59675717915707</c:v>
                </c:pt>
                <c:pt idx="6">
                  <c:v>259.91781646849358</c:v>
                </c:pt>
                <c:pt idx="7">
                  <c:v>253.23977617779951</c:v>
                </c:pt>
                <c:pt idx="8">
                  <c:v>246.5627609188798</c:v>
                </c:pt>
                <c:pt idx="9">
                  <c:v>239.88688407307663</c:v>
                </c:pt>
                <c:pt idx="10">
                  <c:v>233.2122465490402</c:v>
                </c:pt>
                <c:pt idx="11">
                  <c:v>226.53893567715176</c:v>
                </c:pt>
                <c:pt idx="12">
                  <c:v>219.867024252714</c:v>
                </c:pt>
                <c:pt idx="13">
                  <c:v>213.19656973839068</c:v>
                </c:pt>
                <c:pt idx="14">
                  <c:v>206.52761363463316</c:v>
                </c:pt>
                <c:pt idx="15">
                  <c:v>199.86018102499338</c:v>
                </c:pt>
                <c:pt idx="16">
                  <c:v>193.1942803013028</c:v>
                </c:pt>
                <c:pt idx="17">
                  <c:v>186.52990307172979</c:v>
                </c:pt>
                <c:pt idx="18">
                  <c:v>179.86702425272256</c:v>
                </c:pt>
                <c:pt idx="19">
                  <c:v>173.20560234382927</c:v>
                </c:pt>
                <c:pt idx="20">
                  <c:v>166.54557988238619</c:v>
                </c:pt>
                <c:pt idx="21">
                  <c:v>159.88688407309053</c:v>
                </c:pt>
                <c:pt idx="22">
                  <c:v>153.2294275855609</c:v>
                </c:pt>
                <c:pt idx="23">
                  <c:v>146.57310951114732</c:v>
                </c:pt>
                <c:pt idx="24">
                  <c:v>139.91781646850745</c:v>
                </c:pt>
                <c:pt idx="25">
                  <c:v>133.26342384583637</c:v>
                </c:pt>
                <c:pt idx="26">
                  <c:v>126.60979716613963</c:v>
                </c:pt>
                <c:pt idx="27">
                  <c:v>119.95679356059119</c:v>
                </c:pt>
                <c:pt idx="28">
                  <c:v>113.30426333383429</c:v>
                </c:pt>
                <c:pt idx="29">
                  <c:v>106.65205160407507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292.97782687123032</c:v>
                </c:pt>
                <c:pt idx="2">
                  <c:v>285.96342243633171</c:v>
                </c:pt>
                <c:pt idx="3">
                  <c:v>278.94901800143316</c:v>
                </c:pt>
                <c:pt idx="4">
                  <c:v>271.95758011467308</c:v>
                </c:pt>
                <c:pt idx="5">
                  <c:v>264.966142227913</c:v>
                </c:pt>
                <c:pt idx="6">
                  <c:v>258.0118649831158</c:v>
                </c:pt>
                <c:pt idx="7">
                  <c:v>251.05758773831866</c:v>
                </c:pt>
                <c:pt idx="8">
                  <c:v>244.15304111313486</c:v>
                </c:pt>
                <c:pt idx="9">
                  <c:v>237.24849448795109</c:v>
                </c:pt>
                <c:pt idx="10">
                  <c:v>230.40407497287472</c:v>
                </c:pt>
                <c:pt idx="11">
                  <c:v>223.55965545779844</c:v>
                </c:pt>
                <c:pt idx="12">
                  <c:v>216.78313168053836</c:v>
                </c:pt>
                <c:pt idx="13">
                  <c:v>210.00660790327836</c:v>
                </c:pt>
                <c:pt idx="14">
                  <c:v>203.30278110672344</c:v>
                </c:pt>
                <c:pt idx="15">
                  <c:v>196.59895431016861</c:v>
                </c:pt>
                <c:pt idx="16">
                  <c:v>189.96944852195043</c:v>
                </c:pt>
                <c:pt idx="17">
                  <c:v>183.33994273373236</c:v>
                </c:pt>
                <c:pt idx="18">
                  <c:v>176.78313379678647</c:v>
                </c:pt>
                <c:pt idx="19">
                  <c:v>170.22632485984064</c:v>
                </c:pt>
                <c:pt idx="20">
                  <c:v>163.73741142422546</c:v>
                </c:pt>
                <c:pt idx="21">
                  <c:v>157.24849798861027</c:v>
                </c:pt>
                <c:pt idx="22">
                  <c:v>150.81971136045468</c:v>
                </c:pt>
                <c:pt idx="23">
                  <c:v>144.39092473229906</c:v>
                </c:pt>
                <c:pt idx="24">
                  <c:v>138.01186840727723</c:v>
                </c:pt>
                <c:pt idx="25">
                  <c:v>131.63281208225544</c:v>
                </c:pt>
                <c:pt idx="26">
                  <c:v>125.2909161236075</c:v>
                </c:pt>
                <c:pt idx="27">
                  <c:v>118.94902016495956</c:v>
                </c:pt>
                <c:pt idx="28">
                  <c:v>112.63009056740344</c:v>
                </c:pt>
                <c:pt idx="29">
                  <c:v>106.31116096984731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11907</xdr:colOff>
      <xdr:row>16</xdr:row>
      <xdr:rowOff>47625</xdr:rowOff>
    </xdr:from>
    <xdr:ext cx="452438" cy="4167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6813F2-4850-4138-A82F-2F75E3829163}"/>
            </a:ext>
          </a:extLst>
        </xdr:cNvPr>
        <xdr:cNvSpPr txBox="1"/>
      </xdr:nvSpPr>
      <xdr:spPr>
        <a:xfrm>
          <a:off x="3090387" y="2973705"/>
          <a:ext cx="452438" cy="41671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ru-RU" sz="1400" b="1"/>
        </a:p>
      </xdr:txBody>
    </xdr:sp>
    <xdr:clientData/>
  </xdr:oneCellAnchor>
  <xdr:twoCellAnchor>
    <xdr:from>
      <xdr:col>6</xdr:col>
      <xdr:colOff>807720</xdr:colOff>
      <xdr:row>15</xdr:row>
      <xdr:rowOff>179070</xdr:rowOff>
    </xdr:from>
    <xdr:to>
      <xdr:col>15</xdr:col>
      <xdr:colOff>281940</xdr:colOff>
      <xdr:row>30</xdr:row>
      <xdr:rowOff>179070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257175</xdr:colOff>
      <xdr:row>23</xdr:row>
      <xdr:rowOff>176212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16</xdr:col>
      <xdr:colOff>0</xdr:colOff>
      <xdr:row>25</xdr:row>
      <xdr:rowOff>0</xdr:rowOff>
    </xdr:from>
    <xdr:to>
      <xdr:col>25</xdr:col>
      <xdr:colOff>212406</xdr:colOff>
      <xdr:row>45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47625</xdr:colOff>
      <xdr:row>25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workbookViewId="0">
      <selection activeCell="G7" sqref="G7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2">
        <f>C3/30</f>
        <v>3.3333333333333335E-3</v>
      </c>
    </row>
    <row r="5" spans="2:36" x14ac:dyDescent="0.3">
      <c r="B5" s="1" t="s">
        <v>2</v>
      </c>
      <c r="C5" s="2">
        <f>(C9*C8*C4^2)/(2*C10)</f>
        <v>9.2853416797078786E-2</v>
      </c>
    </row>
    <row r="6" spans="2:36" x14ac:dyDescent="0.3">
      <c r="B6" s="1" t="s">
        <v>3</v>
      </c>
      <c r="C6" s="1">
        <v>60</v>
      </c>
      <c r="D6">
        <v>60.076160667709978</v>
      </c>
      <c r="G6" s="9">
        <f>C6/C5</f>
        <v>646.17977528089875</v>
      </c>
    </row>
    <row r="7" spans="2:36" x14ac:dyDescent="0.3">
      <c r="B7" s="4"/>
      <c r="C7" s="4"/>
    </row>
    <row r="8" spans="2:36" x14ac:dyDescent="0.3">
      <c r="B8" s="1" t="s">
        <v>4</v>
      </c>
      <c r="C8" s="1">
        <v>400</v>
      </c>
    </row>
    <row r="9" spans="2:36" x14ac:dyDescent="0.3">
      <c r="B9" s="1" t="s">
        <v>5</v>
      </c>
      <c r="C9" s="1">
        <v>8900</v>
      </c>
    </row>
    <row r="10" spans="2:36" x14ac:dyDescent="0.3">
      <c r="B10" s="1" t="s">
        <v>6</v>
      </c>
      <c r="C10" s="1">
        <v>213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1" t="s">
        <v>10</v>
      </c>
      <c r="C13" s="1">
        <v>100</v>
      </c>
      <c r="E13" t="s">
        <v>7</v>
      </c>
      <c r="F13" s="4">
        <v>300</v>
      </c>
      <c r="G13" s="4">
        <v>292.97782687123032</v>
      </c>
      <c r="H13" s="4">
        <v>285.96342243633171</v>
      </c>
      <c r="I13" s="4">
        <v>278.94901800143316</v>
      </c>
      <c r="J13" s="4">
        <v>271.95758011467308</v>
      </c>
      <c r="K13" s="4">
        <v>264.966142227913</v>
      </c>
      <c r="L13" s="4">
        <v>258.0118649831158</v>
      </c>
      <c r="M13" s="4">
        <v>251.05758773831866</v>
      </c>
      <c r="N13" s="4">
        <v>244.15304111313486</v>
      </c>
      <c r="O13" s="4">
        <v>237.24849448795109</v>
      </c>
      <c r="P13" s="4">
        <v>230.40407497287472</v>
      </c>
      <c r="Q13" s="4">
        <v>223.55965545779844</v>
      </c>
      <c r="R13" s="4">
        <v>216.78313168053836</v>
      </c>
      <c r="S13" s="4">
        <v>210.00660790327836</v>
      </c>
      <c r="T13" s="4">
        <v>203.30278110672344</v>
      </c>
      <c r="U13" s="4">
        <v>196.59895431016861</v>
      </c>
      <c r="V13" s="4">
        <v>189.96944852195043</v>
      </c>
      <c r="W13" s="4">
        <v>183.33994273373236</v>
      </c>
      <c r="X13" s="4">
        <v>176.78313379678647</v>
      </c>
      <c r="Y13" s="4">
        <v>170.22632485984064</v>
      </c>
      <c r="Z13" s="4">
        <v>163.73741142422546</v>
      </c>
      <c r="AA13" s="4">
        <v>157.24849798861027</v>
      </c>
      <c r="AB13" s="4">
        <v>150.81971136045468</v>
      </c>
      <c r="AC13" s="4">
        <v>144.39092473229906</v>
      </c>
      <c r="AD13" s="4">
        <v>138.01186840727723</v>
      </c>
      <c r="AE13" s="4">
        <v>131.63281208225544</v>
      </c>
      <c r="AF13" s="4">
        <v>125.2909161236075</v>
      </c>
      <c r="AG13" s="4">
        <v>118.94902016495956</v>
      </c>
      <c r="AH13" s="4">
        <v>112.63009056740344</v>
      </c>
      <c r="AI13" s="4">
        <v>106.31116096984731</v>
      </c>
      <c r="AJ13" s="4">
        <v>100</v>
      </c>
    </row>
    <row r="14" spans="2:36" x14ac:dyDescent="0.3">
      <c r="B14" s="7" t="s">
        <v>12</v>
      </c>
      <c r="C14">
        <v>1000</v>
      </c>
    </row>
    <row r="15" spans="2:36" x14ac:dyDescent="0.3">
      <c r="B15" t="s">
        <v>11</v>
      </c>
      <c r="C15">
        <v>392</v>
      </c>
      <c r="E15" t="s">
        <v>8</v>
      </c>
      <c r="G15" s="4">
        <f>G13+(($C$10*$C$5)/($C$9*$C$8))*((H13-2*G13+F13)/($C$4^2))</f>
        <v>292.98171121816586</v>
      </c>
      <c r="H15" s="4">
        <f t="shared" ref="H15:AI15" si="1">H13+(($C$10*$C$5)/($C$9*$C$8))*((I13-2*H13+G13)/($C$4^2))</f>
        <v>285.96342243633171</v>
      </c>
      <c r="I15" s="4">
        <f t="shared" si="1"/>
        <v>278.96050127550239</v>
      </c>
      <c r="J15" s="4">
        <f t="shared" si="1"/>
        <v>271.95758011467308</v>
      </c>
      <c r="K15" s="4">
        <f t="shared" si="1"/>
        <v>264.98472254889441</v>
      </c>
      <c r="L15" s="4">
        <f t="shared" si="1"/>
        <v>258.01186498311586</v>
      </c>
      <c r="M15" s="4">
        <f t="shared" si="1"/>
        <v>251.08245304812533</v>
      </c>
      <c r="N15" s="4">
        <f t="shared" si="1"/>
        <v>244.15304111313486</v>
      </c>
      <c r="O15" s="4">
        <f t="shared" si="1"/>
        <v>237.27855804300481</v>
      </c>
      <c r="P15" s="4">
        <f t="shared" si="1"/>
        <v>230.40407497287475</v>
      </c>
      <c r="Q15" s="4">
        <f t="shared" si="1"/>
        <v>223.59360332670656</v>
      </c>
      <c r="R15" s="4">
        <f t="shared" si="1"/>
        <v>216.78313168053842</v>
      </c>
      <c r="S15" s="4">
        <f t="shared" si="1"/>
        <v>210.0429563936309</v>
      </c>
      <c r="T15" s="4">
        <f t="shared" si="1"/>
        <v>203.3027811067235</v>
      </c>
      <c r="U15" s="4">
        <f t="shared" si="1"/>
        <v>196.63611481433693</v>
      </c>
      <c r="V15" s="4">
        <f t="shared" si="1"/>
        <v>189.96944852195048</v>
      </c>
      <c r="W15" s="4">
        <f t="shared" si="1"/>
        <v>183.37629115936846</v>
      </c>
      <c r="X15" s="4">
        <f t="shared" si="1"/>
        <v>176.7831337967865</v>
      </c>
      <c r="Y15" s="4">
        <f t="shared" si="1"/>
        <v>170.26027261050598</v>
      </c>
      <c r="Z15" s="4">
        <f t="shared" si="1"/>
        <v>163.73741142422546</v>
      </c>
      <c r="AA15" s="4">
        <f t="shared" si="1"/>
        <v>157.27856139234007</v>
      </c>
      <c r="AB15" s="4">
        <f t="shared" si="1"/>
        <v>150.81971136045468</v>
      </c>
      <c r="AC15" s="4">
        <f t="shared" si="1"/>
        <v>144.41578988386595</v>
      </c>
      <c r="AD15" s="4">
        <f t="shared" si="1"/>
        <v>138.01186840727723</v>
      </c>
      <c r="AE15" s="4">
        <f t="shared" si="1"/>
        <v>131.65139226544238</v>
      </c>
      <c r="AF15" s="4">
        <f t="shared" si="1"/>
        <v>125.2909161236075</v>
      </c>
      <c r="AG15" s="4">
        <f t="shared" si="1"/>
        <v>118.96050334550547</v>
      </c>
      <c r="AH15" s="4">
        <f t="shared" si="1"/>
        <v>112.63009056740344</v>
      </c>
      <c r="AI15" s="4">
        <f t="shared" si="1"/>
        <v>106.31504528370172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abSelected="1" zoomScale="80" zoomScaleNormal="80" workbookViewId="0">
      <selection activeCell="E7" sqref="E7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1" spans="1:36" x14ac:dyDescent="0.3">
      <c r="B1" s="1" t="s">
        <v>0</v>
      </c>
      <c r="C1" s="1">
        <v>0.1</v>
      </c>
    </row>
    <row r="2" spans="1:36" x14ac:dyDescent="0.3">
      <c r="B2" s="1" t="s">
        <v>1</v>
      </c>
      <c r="C2" s="2">
        <f>C1/30</f>
        <v>3.3333333333333335E-3</v>
      </c>
    </row>
    <row r="3" spans="1:36" x14ac:dyDescent="0.3">
      <c r="B3" s="1" t="s">
        <v>3</v>
      </c>
      <c r="C3" s="10">
        <v>60</v>
      </c>
    </row>
    <row r="4" spans="1:36" x14ac:dyDescent="0.3">
      <c r="B4" s="1" t="s">
        <v>2</v>
      </c>
      <c r="C4" s="8">
        <f>(C8*C7*C2^2)/(2*C9)</f>
        <v>9.3062076160667723E-2</v>
      </c>
      <c r="D4">
        <v>60.013650013650022</v>
      </c>
      <c r="G4" s="9">
        <f>C3/C4</f>
        <v>644.73094170403579</v>
      </c>
    </row>
    <row r="5" spans="1:36" x14ac:dyDescent="0.3">
      <c r="A5" s="5"/>
      <c r="B5" s="6"/>
      <c r="C5" s="6"/>
      <c r="D5" s="5"/>
    </row>
    <row r="7" spans="1:36" x14ac:dyDescent="0.3">
      <c r="B7" s="1" t="s">
        <v>4</v>
      </c>
      <c r="C7" s="1">
        <v>400</v>
      </c>
    </row>
    <row r="8" spans="1:36" x14ac:dyDescent="0.3">
      <c r="B8" s="1" t="s">
        <v>5</v>
      </c>
      <c r="C8" s="1">
        <v>8920</v>
      </c>
    </row>
    <row r="9" spans="1:36" x14ac:dyDescent="0.3">
      <c r="B9" s="1" t="s">
        <v>6</v>
      </c>
      <c r="C9" s="1">
        <v>213</v>
      </c>
    </row>
    <row r="10" spans="1:36" x14ac:dyDescent="0.3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3">
      <c r="B12" s="1" t="s">
        <v>9</v>
      </c>
      <c r="C12" s="1">
        <v>300</v>
      </c>
      <c r="E12" t="s">
        <v>7</v>
      </c>
      <c r="F12" s="4">
        <v>300</v>
      </c>
      <c r="G12" s="4">
        <v>293.31871827073877</v>
      </c>
      <c r="H12" s="4">
        <v>286.63759666716163</v>
      </c>
      <c r="I12" s="4">
        <v>279.95679356058253</v>
      </c>
      <c r="J12" s="4">
        <v>273.27646383279534</v>
      </c>
      <c r="K12" s="4">
        <v>266.59675717915707</v>
      </c>
      <c r="L12" s="4">
        <v>259.91781646849358</v>
      </c>
      <c r="M12" s="4">
        <v>253.23977617779951</v>
      </c>
      <c r="N12" s="4">
        <v>246.5627609188798</v>
      </c>
      <c r="O12" s="4">
        <v>239.88688407307663</v>
      </c>
      <c r="P12" s="4">
        <v>233.2122465490402</v>
      </c>
      <c r="Q12" s="4">
        <v>226.53893567715176</v>
      </c>
      <c r="R12" s="4">
        <v>219.867024252714</v>
      </c>
      <c r="S12" s="4">
        <v>213.19656973839068</v>
      </c>
      <c r="T12" s="4">
        <v>206.52761363463316</v>
      </c>
      <c r="U12" s="4">
        <v>199.86018102499338</v>
      </c>
      <c r="V12" s="4">
        <v>193.1942803013028</v>
      </c>
      <c r="W12" s="4">
        <v>186.52990307172979</v>
      </c>
      <c r="X12" s="4">
        <v>179.86702425272256</v>
      </c>
      <c r="Y12" s="4">
        <v>173.20560234382927</v>
      </c>
      <c r="Z12" s="4">
        <v>166.54557988238619</v>
      </c>
      <c r="AA12" s="4">
        <v>159.88688407309053</v>
      </c>
      <c r="AB12" s="4">
        <v>153.2294275855609</v>
      </c>
      <c r="AC12" s="4">
        <v>146.57310951114732</v>
      </c>
      <c r="AD12" s="4">
        <v>139.91781646850745</v>
      </c>
      <c r="AE12" s="4">
        <v>133.26342384583637</v>
      </c>
      <c r="AF12" s="4">
        <v>126.60979716613963</v>
      </c>
      <c r="AG12" s="4">
        <v>119.95679356059119</v>
      </c>
      <c r="AH12" s="4">
        <v>113.30426333383429</v>
      </c>
      <c r="AI12" s="4">
        <v>106.65205160407507</v>
      </c>
      <c r="AJ12" s="4">
        <v>100</v>
      </c>
    </row>
    <row r="13" spans="1:36" x14ac:dyDescent="0.3">
      <c r="B13" s="1" t="s">
        <v>10</v>
      </c>
      <c r="C13" s="1">
        <v>100</v>
      </c>
    </row>
    <row r="14" spans="1:36" x14ac:dyDescent="0.3">
      <c r="E14" t="s">
        <v>8</v>
      </c>
      <c r="G14" s="4">
        <f t="shared" ref="G14:AH14" si="1">G18*H14+G19</f>
        <v>293.31879789737781</v>
      </c>
      <c r="H14" s="4">
        <f t="shared" si="1"/>
        <v>286.63775504803363</v>
      </c>
      <c r="I14" s="4">
        <f t="shared" si="1"/>
        <v>279.95702896043349</v>
      </c>
      <c r="J14" s="4">
        <f t="shared" si="1"/>
        <v>273.27677367253528</v>
      </c>
      <c r="K14" s="4">
        <f t="shared" si="1"/>
        <v>266.59713806411685</v>
      </c>
      <c r="L14" s="4">
        <f t="shared" si="1"/>
        <v>259.91826422561797</v>
      </c>
      <c r="M14" s="4">
        <f t="shared" si="1"/>
        <v>253.24028590136766</v>
      </c>
      <c r="N14" s="4">
        <f t="shared" si="1"/>
        <v>246.56332702425362</v>
      </c>
      <c r="O14" s="4">
        <f t="shared" si="1"/>
        <v>239.88750035788729</v>
      </c>
      <c r="P14" s="4">
        <f t="shared" si="1"/>
        <v>233.21290626114228</v>
      </c>
      <c r="Q14" s="4">
        <f t="shared" si="1"/>
        <v>226.53963158860134</v>
      </c>
      <c r="R14" s="4">
        <f t="shared" si="1"/>
        <v>219.86774873895973</v>
      </c>
      <c r="S14" s="4">
        <f t="shared" si="1"/>
        <v>213.19731486180956</v>
      </c>
      <c r="T14" s="4">
        <f t="shared" si="1"/>
        <v>206.52837123149715</v>
      </c>
      <c r="U14" s="4">
        <f t="shared" si="1"/>
        <v>199.86094279491266</v>
      </c>
      <c r="V14" s="4">
        <f t="shared" si="1"/>
        <v>193.19503789816673</v>
      </c>
      <c r="W14" s="4">
        <f t="shared" si="1"/>
        <v>186.53064819514861</v>
      </c>
      <c r="X14" s="4">
        <f t="shared" si="1"/>
        <v>179.86774873896815</v>
      </c>
      <c r="Y14" s="4">
        <f t="shared" si="1"/>
        <v>173.20629825527868</v>
      </c>
      <c r="Z14" s="4">
        <f t="shared" si="1"/>
        <v>166.54623959448799</v>
      </c>
      <c r="AA14" s="4">
        <f t="shared" si="1"/>
        <v>159.88750035790088</v>
      </c>
      <c r="AB14" s="4">
        <f t="shared" si="1"/>
        <v>153.22999369093446</v>
      </c>
      <c r="AC14" s="4">
        <f t="shared" si="1"/>
        <v>146.57361923471515</v>
      </c>
      <c r="AD14" s="4">
        <f t="shared" si="1"/>
        <v>139.9182642256315</v>
      </c>
      <c r="AE14" s="4">
        <f t="shared" si="1"/>
        <v>133.2638047307959</v>
      </c>
      <c r="AF14" s="4">
        <f t="shared" si="1"/>
        <v>126.61010700587929</v>
      </c>
      <c r="AG14" s="4">
        <f t="shared" si="1"/>
        <v>119.95702896044199</v>
      </c>
      <c r="AH14" s="4">
        <f t="shared" si="1"/>
        <v>113.30442171470618</v>
      </c>
      <c r="AI14" s="4">
        <f>AI18*AJ14+AI19</f>
        <v>106.65213123071409</v>
      </c>
      <c r="AJ14" s="4">
        <f>AJ12</f>
        <v>100</v>
      </c>
    </row>
    <row r="15" spans="1:36" x14ac:dyDescent="0.3">
      <c r="B15" t="s">
        <v>13</v>
      </c>
      <c r="C15">
        <f>C9/(C2^2)</f>
        <v>19169999.999999996</v>
      </c>
    </row>
    <row r="16" spans="1:36" x14ac:dyDescent="0.3">
      <c r="B16" t="s">
        <v>14</v>
      </c>
      <c r="C16">
        <f>(2*C9)/(C2^2)+(C8*C7)/C4</f>
        <v>76679999.999999985</v>
      </c>
      <c r="E16" t="s">
        <v>16</v>
      </c>
    </row>
    <row r="17" spans="2:35" x14ac:dyDescent="0.3">
      <c r="B17" t="s">
        <v>15</v>
      </c>
      <c r="C17">
        <f>C15</f>
        <v>19169999.999999996</v>
      </c>
    </row>
    <row r="18" spans="2:35" x14ac:dyDescent="0.3">
      <c r="E18" t="s">
        <v>17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0.26794919225551855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0.26794919243105769</v>
      </c>
      <c r="R18">
        <f t="shared" si="2"/>
        <v>0.26794919243111803</v>
      </c>
      <c r="S18">
        <f t="shared" si="2"/>
        <v>0.26794919243112242</v>
      </c>
      <c r="T18">
        <f t="shared" si="2"/>
        <v>0.2679491924311227</v>
      </c>
      <c r="U18">
        <f t="shared" si="2"/>
        <v>0.26794919243112275</v>
      </c>
      <c r="V18">
        <f t="shared" si="2"/>
        <v>0.26794919243112275</v>
      </c>
      <c r="W18">
        <f t="shared" si="2"/>
        <v>0.26794919243112275</v>
      </c>
      <c r="X18">
        <f t="shared" si="2"/>
        <v>0.26794919243112275</v>
      </c>
      <c r="Y18">
        <f t="shared" si="2"/>
        <v>0.26794919243112275</v>
      </c>
      <c r="Z18">
        <f t="shared" si="2"/>
        <v>0.26794919243112275</v>
      </c>
      <c r="AA18">
        <f t="shared" si="2"/>
        <v>0.26794919243112275</v>
      </c>
      <c r="AB18">
        <f t="shared" si="2"/>
        <v>0.26794919243112275</v>
      </c>
      <c r="AC18">
        <f t="shared" si="2"/>
        <v>0.26794919243112275</v>
      </c>
      <c r="AD18">
        <f t="shared" si="2"/>
        <v>0.26794919243112275</v>
      </c>
      <c r="AE18">
        <f t="shared" si="2"/>
        <v>0.26794919243112275</v>
      </c>
      <c r="AF18">
        <f t="shared" si="2"/>
        <v>0.26794919243112275</v>
      </c>
      <c r="AG18">
        <f t="shared" si="2"/>
        <v>0.26794919243112275</v>
      </c>
      <c r="AH18">
        <f t="shared" si="2"/>
        <v>0.26794919243112275</v>
      </c>
      <c r="AI18">
        <f t="shared" si="2"/>
        <v>0.26794919243112275</v>
      </c>
    </row>
    <row r="19" spans="2:35" x14ac:dyDescent="0.3">
      <c r="E19" t="s">
        <v>18</v>
      </c>
      <c r="F19">
        <f>F12</f>
        <v>300</v>
      </c>
      <c r="G19">
        <f>(F19*$C$17-G20)/($C$16-$C$17*F18)</f>
        <v>221.65935913536939</v>
      </c>
      <c r="H19">
        <f t="shared" ref="H19:AI19" si="3">(G19*$C$17-H20)/($C$16-$C$17*G18)</f>
        <v>211.98254732525137</v>
      </c>
      <c r="I19">
        <f t="shared" si="3"/>
        <v>206.75789315529011</v>
      </c>
      <c r="J19">
        <f t="shared" si="3"/>
        <v>201.84404768406378</v>
      </c>
      <c r="K19">
        <f t="shared" si="3"/>
        <v>196.95237239340639</v>
      </c>
      <c r="L19">
        <f t="shared" si="3"/>
        <v>192.06274275427933</v>
      </c>
      <c r="M19">
        <f t="shared" si="3"/>
        <v>187.17384214514507</v>
      </c>
      <c r="N19">
        <f t="shared" si="3"/>
        <v>182.28566507116233</v>
      </c>
      <c r="O19">
        <f t="shared" si="3"/>
        <v>177.3982904636394</v>
      </c>
      <c r="P19">
        <f t="shared" si="3"/>
        <v>172.51179492353754</v>
      </c>
      <c r="Q19">
        <f t="shared" si="3"/>
        <v>167.62624587236238</v>
      </c>
      <c r="R19">
        <f t="shared" si="3"/>
        <v>162.74170039325506</v>
      </c>
      <c r="S19">
        <f t="shared" si="3"/>
        <v>157.85820457621486</v>
      </c>
      <c r="T19">
        <f t="shared" si="3"/>
        <v>152.97579301107749</v>
      </c>
      <c r="U19">
        <f t="shared" si="3"/>
        <v>148.09448840839875</v>
      </c>
      <c r="V19">
        <f t="shared" si="3"/>
        <v>143.2143013506228</v>
      </c>
      <c r="W19">
        <f t="shared" si="3"/>
        <v>138.335230176138</v>
      </c>
      <c r="X19">
        <f t="shared" si="3"/>
        <v>133.45726099748202</v>
      </c>
      <c r="Y19">
        <f t="shared" si="3"/>
        <v>128.58036785349535</v>
      </c>
      <c r="Z19">
        <f t="shared" si="3"/>
        <v>123.7045129937576</v>
      </c>
      <c r="AA19">
        <f t="shared" si="3"/>
        <v>118.82964729218897</v>
      </c>
      <c r="AB19">
        <f t="shared" si="3"/>
        <v>113.95571078528566</v>
      </c>
      <c r="AC19">
        <f t="shared" si="3"/>
        <v>109.08263332909274</v>
      </c>
      <c r="AD19">
        <f t="shared" si="3"/>
        <v>104.2103353677159</v>
      </c>
      <c r="AE19">
        <f t="shared" si="3"/>
        <v>99.338728804952495</v>
      </c>
      <c r="AF19">
        <f t="shared" si="3"/>
        <v>94.467717969492057</v>
      </c>
      <c r="AG19">
        <f t="shared" si="3"/>
        <v>89.597200663111096</v>
      </c>
      <c r="AH19">
        <f t="shared" si="3"/>
        <v>84.727069280378217</v>
      </c>
      <c r="AI19">
        <f t="shared" si="3"/>
        <v>79.857211987601815</v>
      </c>
    </row>
    <row r="20" spans="2:35" x14ac:dyDescent="0.3">
      <c r="E20" t="s">
        <v>19</v>
      </c>
      <c r="F20">
        <f>-(($C$8*$C$7)/$C$4)*F12</f>
        <v>-11501999999.999998</v>
      </c>
      <c r="G20">
        <f t="shared" ref="G20:AI20" si="4">-(($C$8*$C$7)/$C$4)*G12</f>
        <v>-11245839658.500122</v>
      </c>
      <c r="H20">
        <f t="shared" si="4"/>
        <v>-10989685456.218975</v>
      </c>
      <c r="I20">
        <f t="shared" si="4"/>
        <v>-10733543465.112732</v>
      </c>
      <c r="J20">
        <f t="shared" si="4"/>
        <v>-10477419623.349371</v>
      </c>
      <c r="K20">
        <f t="shared" si="4"/>
        <v>-10221319670.24888</v>
      </c>
      <c r="L20">
        <f t="shared" si="4"/>
        <v>-9965249083.4020424</v>
      </c>
      <c r="M20">
        <f t="shared" si="4"/>
        <v>-9709213018.6568317</v>
      </c>
      <c r="N20">
        <f t="shared" si="4"/>
        <v>-9453216253.6298504</v>
      </c>
      <c r="O20">
        <f t="shared" si="4"/>
        <v>-9197263135.3617554</v>
      </c>
      <c r="P20">
        <f t="shared" si="4"/>
        <v>-8941357532.6901989</v>
      </c>
      <c r="Q20">
        <f t="shared" si="4"/>
        <v>-8685502793.8619957</v>
      </c>
      <c r="R20">
        <f t="shared" si="4"/>
        <v>-8429701709.8490534</v>
      </c>
      <c r="S20">
        <f t="shared" si="4"/>
        <v>-8173956483.7698975</v>
      </c>
      <c r="T20">
        <f t="shared" si="4"/>
        <v>-7918268706.7518339</v>
      </c>
      <c r="U20">
        <f t="shared" si="4"/>
        <v>-7662639340.4982443</v>
      </c>
      <c r="V20">
        <f t="shared" si="4"/>
        <v>-7407068706.7519474</v>
      </c>
      <c r="W20">
        <f t="shared" si="4"/>
        <v>-7151556483.7701187</v>
      </c>
      <c r="X20">
        <f t="shared" si="4"/>
        <v>-6896101709.8493814</v>
      </c>
      <c r="Y20">
        <f t="shared" si="4"/>
        <v>-6640702793.8624125</v>
      </c>
      <c r="Z20">
        <f t="shared" si="4"/>
        <v>-6385357532.6906853</v>
      </c>
      <c r="AA20">
        <f t="shared" si="4"/>
        <v>-6130063135.3622894</v>
      </c>
      <c r="AB20">
        <f t="shared" si="4"/>
        <v>-5874816253.6304035</v>
      </c>
      <c r="AC20">
        <f t="shared" si="4"/>
        <v>-5619613018.6573868</v>
      </c>
      <c r="AD20">
        <f t="shared" si="4"/>
        <v>-5364449083.4025745</v>
      </c>
      <c r="AE20">
        <f t="shared" si="4"/>
        <v>-5109319670.2493658</v>
      </c>
      <c r="AF20">
        <f t="shared" si="4"/>
        <v>-4854219623.3497925</v>
      </c>
      <c r="AG20">
        <f t="shared" si="4"/>
        <v>-4599143465.1130657</v>
      </c>
      <c r="AH20">
        <f t="shared" si="4"/>
        <v>-4344085456.2192059</v>
      </c>
      <c r="AI20">
        <f t="shared" si="4"/>
        <v>-4089039658.5002375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Мсс</dc:subject>
  <dc:creator>Диана Ильдякова</dc:creator>
  <cp:lastModifiedBy>пк</cp:lastModifiedBy>
  <dcterms:created xsi:type="dcterms:W3CDTF">2021-09-07T10:42:55Z</dcterms:created>
  <dcterms:modified xsi:type="dcterms:W3CDTF">2021-11-01T06:59:48Z</dcterms:modified>
</cp:coreProperties>
</file>